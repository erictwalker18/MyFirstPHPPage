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Eric\Documents\My Web Sites\Starter Site\Templates\"/>
    </mc:Choice>
  </mc:AlternateContent>
  <bookViews>
    <workbookView xWindow="480" yWindow="120" windowWidth="24240" windowHeight="12585" activeTab="1"/>
  </bookViews>
  <sheets>
    <sheet name="Name" sheetId="8" r:id="rId1"/>
    <sheet name="Tabular Record" sheetId="10" r:id="rId2"/>
    <sheet name="Projects" sheetId="4" r:id="rId3"/>
    <sheet name="Validation Lists" sheetId="2" r:id="rId4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Walker__Eric">Name!$A$3</definedName>
  </definedNames>
  <calcPr calcId="162913"/>
</workbook>
</file>

<file path=xl/calcChain.xml><?xml version="1.0" encoding="utf-8"?>
<calcChain xmlns="http://schemas.openxmlformats.org/spreadsheetml/2006/main">
  <c r="A7" i="8" l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F82" i="2" l="1"/>
  <c r="F83" i="2" s="1"/>
  <c r="F84" i="2" s="1"/>
  <c r="F85" i="2" s="1"/>
  <c r="F75" i="2"/>
  <c r="F76" i="2" s="1"/>
  <c r="F77" i="2" s="1"/>
  <c r="F78" i="2" s="1"/>
  <c r="F79" i="2" s="1"/>
  <c r="F80" i="2" s="1"/>
  <c r="F81" i="2" s="1"/>
  <c r="F70" i="2"/>
  <c r="F71" i="2" s="1"/>
  <c r="F72" i="2" s="1"/>
  <c r="F73" i="2" s="1"/>
  <c r="F74" i="2" s="1"/>
  <c r="F60" i="2"/>
  <c r="F61" i="2"/>
  <c r="F62" i="2" s="1"/>
  <c r="F63" i="2" s="1"/>
  <c r="F64" i="2" s="1"/>
  <c r="F65" i="2" s="1"/>
  <c r="F66" i="2" s="1"/>
  <c r="F67" i="2" s="1"/>
  <c r="F68" i="2" s="1"/>
  <c r="F69" i="2" s="1"/>
  <c r="F55" i="2"/>
  <c r="F56" i="2"/>
  <c r="F57" i="2" s="1"/>
  <c r="F58" i="2" s="1"/>
  <c r="F59" i="2" s="1"/>
  <c r="F3" i="2" l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F48" i="2" s="1"/>
  <c r="F49" i="2" s="1"/>
  <c r="F50" i="2" s="1"/>
  <c r="F51" i="2" s="1"/>
  <c r="F52" i="2" s="1"/>
  <c r="F53" i="2" s="1"/>
  <c r="F54" i="2" s="1"/>
</calcChain>
</file>

<file path=xl/sharedStrings.xml><?xml version="1.0" encoding="utf-8"?>
<sst xmlns="http://schemas.openxmlformats.org/spreadsheetml/2006/main" count="198" uniqueCount="124">
  <si>
    <t>Name</t>
  </si>
  <si>
    <t>Anderson, Amy</t>
  </si>
  <si>
    <t>Davis, Joel</t>
  </si>
  <si>
    <t>Keating, Madeline</t>
  </si>
  <si>
    <t>Lewelling, Kelley</t>
  </si>
  <si>
    <t>Varley, Ian</t>
  </si>
  <si>
    <t>Walker, Doug</t>
  </si>
  <si>
    <t>Walker, Mary</t>
  </si>
  <si>
    <t>Williams, Katie</t>
  </si>
  <si>
    <t>{Name}</t>
  </si>
  <si>
    <t>Date</t>
  </si>
  <si>
    <t>Project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</si>
  <si>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</si>
  <si>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</si>
  <si>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</si>
  <si>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</si>
  <si>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</si>
  <si>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</si>
  <si>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</si>
  <si>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</si>
  <si>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</si>
  <si>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</si>
  <si>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</si>
  <si>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</si>
  <si>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Boston College ITEST</t>
  </si>
  <si>
    <t>CAMPO NEAS</t>
  </si>
  <si>
    <t>CommunityViz Design 4.3</t>
  </si>
  <si>
    <t>CommunityViz Design 4.4</t>
  </si>
  <si>
    <t>CommunityViz Design 5</t>
  </si>
  <si>
    <t>CommunityViz Support</t>
  </si>
  <si>
    <t>Bannock</t>
  </si>
  <si>
    <t>Category</t>
  </si>
  <si>
    <t>Description</t>
  </si>
  <si>
    <t>{Month}</t>
  </si>
  <si>
    <t>{Category}</t>
  </si>
  <si>
    <t>Add-On Planning Tools</t>
  </si>
  <si>
    <t>Custom Services - Consulting and Training</t>
  </si>
  <si>
    <t>Custom Services - Orton</t>
  </si>
  <si>
    <t>Custom Services - Software</t>
  </si>
  <si>
    <t>General and Administrative</t>
  </si>
  <si>
    <t>New Products</t>
  </si>
  <si>
    <t>Orton Development</t>
  </si>
  <si>
    <t>Sales and Marketing</t>
  </si>
  <si>
    <t>Unpaid Time Off</t>
  </si>
  <si>
    <t>Subcontract to David Evans Associates - DEA for scenario planning for BTPO</t>
  </si>
  <si>
    <t>CAMPO Northeast Area Study</t>
  </si>
  <si>
    <t>Esri Relationships</t>
  </si>
  <si>
    <t>Non-revenue, partnership oriented time and activities related to Esri.</t>
  </si>
  <si>
    <t>Hours</t>
  </si>
  <si>
    <t>Billable?</t>
  </si>
  <si>
    <t>{Billable?}</t>
  </si>
  <si>
    <t>Yes</t>
  </si>
  <si>
    <t>No</t>
  </si>
  <si>
    <t>{Project Name}</t>
  </si>
  <si>
    <t>Time Report</t>
  </si>
  <si>
    <t>Start Date</t>
  </si>
  <si>
    <t>{Billable 1-0}</t>
  </si>
  <si>
    <t>Task</t>
  </si>
  <si>
    <t>Internal Training</t>
  </si>
  <si>
    <t>Customer Relations</t>
  </si>
  <si>
    <t>Training - not billable</t>
  </si>
  <si>
    <t>{Sundays}</t>
  </si>
  <si>
    <t>CHARM GOMP</t>
  </si>
  <si>
    <t>CHARM-CACBI</t>
  </si>
  <si>
    <t>CommunityViz Development - Maintenance</t>
  </si>
  <si>
    <t>CommunityViz Development 4.2</t>
  </si>
  <si>
    <t>CommunityViz Development 4.2.50</t>
  </si>
  <si>
    <t>CommunityViz Development 4.3</t>
  </si>
  <si>
    <t>CommunityViz Development 4.4</t>
  </si>
  <si>
    <t>CommunityViz Development 5.0</t>
  </si>
  <si>
    <t>CommunityViz Planning</t>
  </si>
  <si>
    <t>CommunityViz Video Tutorials</t>
  </si>
  <si>
    <t>Compensation Time</t>
  </si>
  <si>
    <t>Conference - CommunityViz</t>
  </si>
  <si>
    <t>Conference - Educational</t>
  </si>
  <si>
    <t>Design - CommunityViz</t>
  </si>
  <si>
    <t>Fulfillment</t>
  </si>
  <si>
    <t>GOMP Clip and Ship</t>
  </si>
  <si>
    <t>Holiday</t>
  </si>
  <si>
    <t>Internal IT Projects</t>
  </si>
  <si>
    <t>Jamestown</t>
  </si>
  <si>
    <t>M-NCPPC</t>
  </si>
  <si>
    <t>MACC 2014 RTP Updates</t>
  </si>
  <si>
    <t>Memphis Greenprint</t>
  </si>
  <si>
    <t>Memphis Greenprint Shelby Co Delivery</t>
  </si>
  <si>
    <t>Michigan Energy Options</t>
  </si>
  <si>
    <t>NJTPA</t>
  </si>
  <si>
    <t>Orton Relationships</t>
  </si>
  <si>
    <t>Paid Time Off - Vac, Sick, Pers</t>
  </si>
  <si>
    <t>Proposals</t>
  </si>
  <si>
    <t>Rockport</t>
  </si>
  <si>
    <t>Sales and Marketing - CommunityViz</t>
  </si>
  <si>
    <t>Sales and Marketing - CommunityViz 4.0</t>
  </si>
  <si>
    <t>Sales and Marketing - Placeways</t>
  </si>
  <si>
    <t>Seven Hills - Performance Enhancements</t>
  </si>
  <si>
    <t>SEWRPC</t>
  </si>
  <si>
    <t>SLO Community Design Model</t>
  </si>
  <si>
    <t>SLOCOG SCS</t>
  </si>
  <si>
    <t>Testing:  CommunityViz 4.2</t>
  </si>
  <si>
    <t>Testing:  CommunityViz 4.3</t>
  </si>
  <si>
    <t>Testing:  CommunityViz 4.4</t>
  </si>
  <si>
    <t>Testing:  CommunityViz 5.0</t>
  </si>
  <si>
    <t>Tipping Points</t>
  </si>
  <si>
    <t>Training - City of Surprise</t>
  </si>
  <si>
    <t>Training - Knoxville</t>
  </si>
  <si>
    <t>Training - Laramie County</t>
  </si>
  <si>
    <t>Training - Public</t>
  </si>
  <si>
    <t>Training - Sarasota GIS</t>
  </si>
  <si>
    <t>Training - Univ Oklahoma</t>
  </si>
  <si>
    <t>Training Materials for CommunityViz</t>
  </si>
  <si>
    <t>TRB</t>
  </si>
  <si>
    <t>UCSD Water Model</t>
  </si>
  <si>
    <t>Website - Placeways.com</t>
  </si>
  <si>
    <t>Website - Product Information</t>
  </si>
  <si>
    <t>Website - User Forums</t>
  </si>
  <si>
    <t>Website Maintenance (CViz)</t>
  </si>
  <si>
    <t>CommunityViz 4.4 for ArcMap 10.0 and 10.1</t>
  </si>
  <si>
    <t>CommunityViz 5.0 for ArcGIS for Server</t>
  </si>
  <si>
    <t>Create numerous short videos describing how to use particular CommunityViz features, similar to the Help system but in screen-capture video format.</t>
  </si>
  <si>
    <t>Preparation for and attendance to trade shows and conferences primarily for the purpose of marketing CommunityViz.  Other conference work is recorded under Sales and Marketing - Placeways.</t>
  </si>
  <si>
    <t>Work on Proposals - please identify proposal at the begining of each entry.</t>
  </si>
  <si>
    <t>Developing new training materials for CommunityViz (for new releases etc.)</t>
  </si>
  <si>
    <t>includes placeways.com/cviz</t>
  </si>
  <si>
    <t>Walker, Eric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</si>
</sst>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;\-0;;@"/>
  </numFmts>
  <fonts count="6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9" tint="0.39997558519241921"/>
        <bgColor indexed="64"/>
      </patternFill>
    </fill>
  </fills>
  <borders count="7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0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2" fillId="0" borderId="0" xfId="0" applyFont="1"/>
    <xf numFmtId="0" fontId="0" fillId="0" borderId="1" xfId="0" applyBorder="1"/>
    <xf numFmtId="0" fontId="2" fillId="0" borderId="0" xfId="0" applyFont="1" applyBorder="1" applyAlignment="1">
      <alignment horizontal="left"/>
    </xf>
    <xf numFmtId="0" fontId="0" fillId="0" borderId="0" xfId="0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2" fillId="3" borderId="2" xfId="0" applyFont="1" applyFill="1" applyBorder="1" applyAlignment="1">
      <alignment horizontal="left"/>
    </xf>
    <xf numFmtId="0" fontId="3" fillId="2" borderId="4" xfId="1" applyFont="1" applyBorder="1" applyAlignment="1">
      <alignment horizontal="center" vertical="center"/>
    </xf>
    <xf numFmtId="0" fontId="3" fillId="0" borderId="0" xfId="1" applyFont="1" applyFill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0" fillId="0" borderId="0" xfId="0" applyFill="1" applyBorder="1"/>
    <xf numFmtId="0" fontId="2" fillId="0" borderId="0" xfId="0" applyFont="1" applyFill="1" applyBorder="1" applyAlignment="1">
      <alignment horizontal="left"/>
    </xf>
    <xf numFmtId="14" fontId="3" fillId="2" borderId="4" xfId="1" applyNumberFormat="1" applyFont="1" applyBorder="1" applyAlignment="1">
      <alignment horizontal="center" vertical="center"/>
    </xf>
    <xf numFmtId="14" fontId="0" fillId="0" borderId="6" xfId="0" applyNumberFormat="1" applyBorder="1"/>
    <xf numFmtId="0" fontId="0" fillId="0" borderId="6" xfId="0" applyBorder="1"/>
    <xf numFmtId="49" fontId="0" fillId="0" borderId="6" xfId="0" applyNumberFormat="1" applyBorder="1" applyAlignment="1">
      <alignment horizontal="center"/>
    </xf>
    <xf numFmtId="164" fontId="3" fillId="2" borderId="4" xfId="1" applyNumberFormat="1" applyFont="1" applyBorder="1" applyAlignment="1">
      <alignment horizontal="center" vertical="center" wrapText="1"/>
    </xf>
    <xf numFmtId="164" fontId="0" fillId="0" borderId="0" xfId="0" applyNumberFormat="1"/>
    <xf numFmtId="164" fontId="3" fillId="2" borderId="4" xfId="1" applyNumberFormat="1" applyFont="1" applyBorder="1" applyAlignment="1">
      <alignment horizontal="center" vertical="center"/>
    </xf>
    <xf numFmtId="49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Fill="1" applyBorder="1"/>
    <xf numFmtId="0" fontId="0" fillId="0" borderId="0" xfId="0" applyFill="1"/>
    <xf numFmtId="14" fontId="4" fillId="0" borderId="0" xfId="0" applyNumberFormat="1" applyFont="1" applyFill="1" applyBorder="1"/>
    <xf numFmtId="14" fontId="4" fillId="0" borderId="5" xfId="0" applyNumberFormat="1" applyFont="1" applyFill="1" applyBorder="1"/>
    <xf numFmtId="14" fontId="0" fillId="0" borderId="0" xfId="0" applyNumberFormat="1" applyFill="1" applyBorder="1"/>
  </cellXfs>
  <cellStyles count="2">
    <cellStyle name="Neutral" xfId="1" builtinId="28"/>
    <cellStyle name="Normal" xfId="0" builtinId="0"/>
  </cellStyles>
  <dxfs count="3">
    <dxf>
      <font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1"/>
  <sheetViews>
    <sheetView workbookViewId="0">
      <selection activeCell="A6" sqref="A6"/>
    </sheetView>
  </sheetViews>
  <sheetFormatPr defaultRowHeight="15" x14ac:dyDescent="0.25"/>
  <cols>
    <col min="1" max="1" width="24.7109375" customWidth="1"/>
  </cols>
  <sheetData>
    <row r="1" spans="1:5" ht="19.5" thickBot="1" x14ac:dyDescent="0.3">
      <c r="A1" s="12" t="s">
        <v>54</v>
      </c>
      <c r="B1" s="11"/>
    </row>
    <row r="2" spans="1:5" x14ac:dyDescent="0.25">
      <c r="A2" s="9" t="s">
        <v>0</v>
      </c>
      <c r="B2" s="6"/>
    </row>
    <row r="3" spans="1:5" ht="15.75" thickBot="1" x14ac:dyDescent="0.3">
      <c r="A3" s="25"/>
      <c r="B3" s="6"/>
    </row>
    <row r="4" spans="1:5" ht="15.75" thickBot="1" x14ac:dyDescent="0.3">
      <c r="A4" s="4"/>
      <c r="B4" s="5"/>
    </row>
    <row r="5" spans="1:5" ht="15.75" thickBot="1" x14ac:dyDescent="0.3">
      <c r="A5" s="9" t="s">
        <v>55</v>
      </c>
      <c r="B5" s="13"/>
      <c r="C5" s="26"/>
    </row>
    <row r="6" spans="1:5" ht="15.75" thickBot="1" x14ac:dyDescent="0.3">
      <c r="A6" s="28"/>
      <c r="B6" s="13"/>
      <c r="C6" s="26"/>
    </row>
    <row r="7" spans="1:5" x14ac:dyDescent="0.25">
      <c r="A7" s="29">
        <f>A6+1</f>
        <v>1</v>
      </c>
      <c r="B7" s="14"/>
      <c r="C7" s="26"/>
    </row>
    <row r="8" spans="1:5" x14ac:dyDescent="0.25">
      <c r="A8" s="29">
        <f t="shared" ref="A8:A18" si="0">A7+1</f>
        <v>2</v>
      </c>
      <c r="B8" s="14"/>
      <c r="C8" s="13"/>
      <c r="D8" s="13"/>
      <c r="E8" s="13"/>
    </row>
    <row r="9" spans="1:5" x14ac:dyDescent="0.25">
      <c r="A9" s="29">
        <f t="shared" si="0"/>
        <v>3</v>
      </c>
      <c r="B9" s="13"/>
      <c r="C9" s="13"/>
      <c r="D9" s="13"/>
      <c r="E9" s="13"/>
    </row>
    <row r="10" spans="1:5" x14ac:dyDescent="0.25">
      <c r="A10" s="29">
        <f t="shared" si="0"/>
        <v>4</v>
      </c>
    </row>
    <row r="11" spans="1:5" x14ac:dyDescent="0.25">
      <c r="A11" s="29">
        <f t="shared" si="0"/>
        <v>5</v>
      </c>
    </row>
    <row r="12" spans="1:5" x14ac:dyDescent="0.25">
      <c r="A12" s="29">
        <f t="shared" si="0"/>
        <v>6</v>
      </c>
    </row>
    <row r="13" spans="1:5" x14ac:dyDescent="0.25">
      <c r="A13" s="29">
        <f t="shared" si="0"/>
        <v>7</v>
      </c>
    </row>
    <row r="14" spans="1:5" x14ac:dyDescent="0.25">
      <c r="A14" s="29">
        <f t="shared" si="0"/>
        <v>8</v>
      </c>
    </row>
    <row r="15" spans="1:5" x14ac:dyDescent="0.25">
      <c r="A15" s="29">
        <f t="shared" si="0"/>
        <v>9</v>
      </c>
    </row>
    <row r="16" spans="1:5" x14ac:dyDescent="0.25">
      <c r="A16" s="29">
        <f t="shared" si="0"/>
        <v>10</v>
      </c>
    </row>
    <row r="17" spans="1:1" x14ac:dyDescent="0.25">
      <c r="A17" s="29">
        <f t="shared" si="0"/>
        <v>11</v>
      </c>
    </row>
    <row r="18" spans="1:1" x14ac:dyDescent="0.25">
      <c r="A18" s="29">
        <f t="shared" si="0"/>
        <v>12</v>
      </c>
    </row>
    <row r="19" spans="1:1" x14ac:dyDescent="0.25">
      <c r="A19" s="29"/>
    </row>
    <row r="20" spans="1:1" x14ac:dyDescent="0.25">
      <c r="A20" s="27"/>
    </row>
    <row r="21" spans="1:1" x14ac:dyDescent="0.25">
      <c r="A21" s="29"/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'Validation Lists'!$B$1:$B$13</xm:f>
          </x14:formula1>
          <xm:sqref>B5</xm:sqref>
        </x14:dataValidation>
        <x14:dataValidation type="list" allowBlank="1" showInputMessage="1" showErrorMessage="1">
          <x14:formula1>
            <xm:f>'Validation Lists'!$F$2:$F$85</xm:f>
          </x14:formula1>
          <xm:sqref>A6 A20</xm:sqref>
        </x14:dataValidation>
        <x14:dataValidation type="list" allowBlank="1" showErrorMessage="1">
          <x14:formula1>
            <xm:f>'Validation Lists'!$A$1:$A$10</xm:f>
          </x14:formula1>
          <xm:sqref>B2</xm:sqref>
        </x14:dataValidation>
        <x14:dataValidation type="list" allowBlank="1" showErrorMessage="1">
          <x14:formula1>
            <xm:f>'Validation Lists'!$A$1:$A$10</xm:f>
          </x14:formula1>
          <xm:sqref>A3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1"/>
  <sheetViews>
    <sheetView tabSelected="1" workbookViewId="0">
      <selection activeCell="A2" sqref="A2"/>
    </sheetView>
  </sheetViews>
  <sheetFormatPr defaultRowHeight="15" x14ac:dyDescent="0.25"/>
  <cols>
    <col min="1" max="1" width="16.5703125" style="1" customWidth="1"/>
    <col min="2" max="2" width="28.140625" customWidth="1"/>
    <col min="3" max="3" width="9.140625" style="20"/>
    <col min="4" max="4" width="8.140625" style="20" customWidth="1"/>
    <col min="5" max="5" width="9.140625" customWidth="1"/>
    <col min="6" max="6" width="51.42578125" customWidth="1"/>
    <col min="7" max="7" width="15.7109375" customWidth="1"/>
    <col min="8" max="8" width="38.5703125" customWidth="1"/>
  </cols>
  <sheetData>
    <row r="1" spans="1:8" ht="15.75" x14ac:dyDescent="0.25">
      <c r="A1" s="15" t="s">
        <v>10</v>
      </c>
      <c r="B1" s="10" t="s">
        <v>11</v>
      </c>
      <c r="C1" s="21" t="s">
        <v>48</v>
      </c>
      <c r="D1" s="19" t="s">
        <v>57</v>
      </c>
      <c r="E1" s="10" t="s">
        <v>49</v>
      </c>
      <c r="F1" s="10" t="s">
        <v>32</v>
      </c>
      <c r="G1" s="10" t="s">
        <v>0</v>
      </c>
      <c r="H1" s="10" t="s">
        <v>31</v>
      </c>
    </row>
    <row r="2" spans="1:8" x14ac:dyDescent="0.25">
      <c r="C2"/>
      <c r="D2"/>
      <c r="E2" s="8"/>
    </row>
    <row r="3" spans="1:8" x14ac:dyDescent="0.25">
      <c r="C3"/>
      <c r="D3"/>
      <c r="E3" s="8"/>
    </row>
    <row r="4" spans="1:8" x14ac:dyDescent="0.25">
      <c r="C4"/>
      <c r="D4"/>
      <c r="E4" s="8"/>
    </row>
    <row r="5" spans="1:8" x14ac:dyDescent="0.25">
      <c r="C5"/>
      <c r="D5"/>
      <c r="E5" s="8"/>
    </row>
    <row r="6" spans="1:8" x14ac:dyDescent="0.25">
      <c r="C6"/>
      <c r="D6"/>
      <c r="E6" s="8"/>
    </row>
    <row r="7" spans="1:8" x14ac:dyDescent="0.25">
      <c r="C7"/>
      <c r="D7"/>
      <c r="E7" s="8"/>
    </row>
    <row r="8" spans="1:8" s="17" customFormat="1" x14ac:dyDescent="0.25">
      <c r="A8" s="16"/>
      <c r="E8" s="18"/>
    </row>
    <row r="9" spans="1:8" x14ac:dyDescent="0.25">
      <c r="C9"/>
      <c r="D9"/>
      <c r="E9" s="8"/>
    </row>
    <row r="10" spans="1:8" x14ac:dyDescent="0.25">
      <c r="C10"/>
      <c r="D10"/>
      <c r="E10" s="8"/>
    </row>
    <row r="11" spans="1:8" x14ac:dyDescent="0.25">
      <c r="C11"/>
      <c r="D11"/>
      <c r="E11" s="8"/>
    </row>
    <row r="12" spans="1:8" x14ac:dyDescent="0.25">
      <c r="C12"/>
      <c r="D12"/>
      <c r="E12" s="8"/>
    </row>
    <row r="13" spans="1:8" x14ac:dyDescent="0.25">
      <c r="C13"/>
      <c r="D13"/>
      <c r="E13" s="8"/>
    </row>
    <row r="14" spans="1:8" x14ac:dyDescent="0.25">
      <c r="C14"/>
      <c r="D14"/>
      <c r="E14" s="8"/>
    </row>
    <row r="15" spans="1:8" s="17" customFormat="1" x14ac:dyDescent="0.25">
      <c r="A15" s="16"/>
      <c r="E15" s="18"/>
    </row>
    <row r="16" spans="1:8" x14ac:dyDescent="0.25">
      <c r="C16"/>
      <c r="D16"/>
      <c r="E16" s="8"/>
    </row>
    <row r="17" spans="1:8" x14ac:dyDescent="0.25">
      <c r="C17"/>
      <c r="D17"/>
      <c r="E17" s="8"/>
    </row>
    <row r="18" spans="1:8" x14ac:dyDescent="0.25">
      <c r="C18"/>
      <c r="D18"/>
      <c r="E18" s="8"/>
    </row>
    <row r="19" spans="1:8" s="6" customFormat="1" x14ac:dyDescent="0.25">
      <c r="A19" s="1"/>
      <c r="B19"/>
      <c r="C19"/>
      <c r="D19"/>
      <c r="E19" s="8"/>
      <c r="F19"/>
      <c r="G19"/>
      <c r="H19"/>
    </row>
    <row r="20" spans="1:8" s="6" customFormat="1" x14ac:dyDescent="0.25">
      <c r="A20" s="1"/>
      <c r="B20"/>
      <c r="C20"/>
      <c r="E20" s="22"/>
      <c r="G20"/>
      <c r="H20"/>
    </row>
    <row r="21" spans="1:8" x14ac:dyDescent="0.25">
      <c r="C21"/>
      <c r="D21" s="6"/>
      <c r="E21" s="22"/>
      <c r="F21" s="6"/>
    </row>
    <row r="22" spans="1:8" s="17" customFormat="1" x14ac:dyDescent="0.25">
      <c r="A22" s="16"/>
      <c r="E22" s="18"/>
    </row>
    <row r="23" spans="1:8" x14ac:dyDescent="0.25">
      <c r="C23"/>
      <c r="D23"/>
      <c r="E23" s="8"/>
    </row>
    <row r="24" spans="1:8" x14ac:dyDescent="0.25">
      <c r="C24"/>
      <c r="D24"/>
      <c r="E24" s="8"/>
    </row>
    <row r="25" spans="1:8" x14ac:dyDescent="0.25">
      <c r="C25"/>
      <c r="D25"/>
      <c r="E25" s="8"/>
    </row>
    <row r="26" spans="1:8" x14ac:dyDescent="0.25">
      <c r="C26"/>
      <c r="D26"/>
      <c r="E26" s="8"/>
    </row>
    <row r="27" spans="1:8" x14ac:dyDescent="0.25">
      <c r="C27"/>
      <c r="D27"/>
      <c r="E27" s="8"/>
    </row>
    <row r="28" spans="1:8" x14ac:dyDescent="0.25">
      <c r="C28"/>
      <c r="D28"/>
      <c r="E28" s="8"/>
    </row>
    <row r="29" spans="1:8" s="17" customFormat="1" x14ac:dyDescent="0.25">
      <c r="A29" s="16"/>
      <c r="E29" s="18"/>
    </row>
    <row r="30" spans="1:8" x14ac:dyDescent="0.25">
      <c r="C30"/>
      <c r="D30"/>
      <c r="E30" s="8"/>
    </row>
    <row r="31" spans="1:8" x14ac:dyDescent="0.25">
      <c r="C31"/>
      <c r="D31"/>
      <c r="E31" s="8"/>
    </row>
    <row r="32" spans="1:8" x14ac:dyDescent="0.25">
      <c r="C32"/>
      <c r="D32"/>
      <c r="E32" s="8"/>
    </row>
    <row r="33" spans="1:8" x14ac:dyDescent="0.25">
      <c r="C33"/>
      <c r="D33"/>
      <c r="E33" s="8"/>
    </row>
    <row r="34" spans="1:8" x14ac:dyDescent="0.25">
      <c r="C34"/>
      <c r="D34"/>
      <c r="E34" s="8"/>
    </row>
    <row r="35" spans="1:8" x14ac:dyDescent="0.25">
      <c r="C35"/>
      <c r="D35"/>
      <c r="E35" s="8"/>
    </row>
    <row r="36" spans="1:8" s="17" customFormat="1" x14ac:dyDescent="0.25">
      <c r="A36" s="16"/>
      <c r="E36" s="18"/>
    </row>
    <row r="37" spans="1:8" x14ac:dyDescent="0.25">
      <c r="C37"/>
      <c r="D37"/>
      <c r="E37" s="7"/>
    </row>
    <row r="38" spans="1:8" x14ac:dyDescent="0.25">
      <c r="C38"/>
      <c r="D38"/>
      <c r="E38" s="7"/>
    </row>
    <row r="39" spans="1:8" s="6" customFormat="1" x14ac:dyDescent="0.25">
      <c r="A39" s="1"/>
      <c r="B39"/>
      <c r="C39"/>
      <c r="D39"/>
      <c r="E39" s="23"/>
      <c r="G39"/>
      <c r="H39"/>
    </row>
    <row r="40" spans="1:8" s="6" customFormat="1" x14ac:dyDescent="0.25">
      <c r="A40" s="1"/>
      <c r="B40"/>
      <c r="C40"/>
      <c r="D40"/>
      <c r="E40" s="23"/>
      <c r="G40"/>
      <c r="H40"/>
    </row>
    <row r="41" spans="1:8" x14ac:dyDescent="0.25">
      <c r="C41"/>
      <c r="D41"/>
      <c r="E41" s="7"/>
    </row>
    <row r="42" spans="1:8" x14ac:dyDescent="0.25">
      <c r="C42"/>
      <c r="D42"/>
      <c r="E42" s="7"/>
    </row>
    <row r="43" spans="1:8" s="17" customFormat="1" x14ac:dyDescent="0.25">
      <c r="A43" s="16"/>
      <c r="E43" s="24"/>
    </row>
    <row r="44" spans="1:8" x14ac:dyDescent="0.25">
      <c r="C44"/>
      <c r="D44"/>
      <c r="E44" s="7"/>
    </row>
    <row r="45" spans="1:8" x14ac:dyDescent="0.25">
      <c r="C45"/>
      <c r="D45"/>
      <c r="E45" s="7"/>
    </row>
    <row r="46" spans="1:8" x14ac:dyDescent="0.25">
      <c r="C46"/>
      <c r="D46"/>
      <c r="E46" s="7"/>
    </row>
    <row r="47" spans="1:8" x14ac:dyDescent="0.25">
      <c r="C47"/>
      <c r="D47"/>
      <c r="E47" s="7"/>
    </row>
    <row r="48" spans="1:8" x14ac:dyDescent="0.25">
      <c r="C48"/>
      <c r="D48"/>
      <c r="E48" s="7"/>
    </row>
    <row r="49" spans="1:8" x14ac:dyDescent="0.25">
      <c r="C49"/>
      <c r="D49"/>
      <c r="E49" s="7"/>
    </row>
    <row r="50" spans="1:8" s="17" customFormat="1" x14ac:dyDescent="0.25">
      <c r="A50" s="16"/>
      <c r="E50" s="24"/>
    </row>
    <row r="51" spans="1:8" x14ac:dyDescent="0.25">
      <c r="C51"/>
      <c r="D51"/>
      <c r="E51" s="7"/>
    </row>
    <row r="52" spans="1:8" x14ac:dyDescent="0.25">
      <c r="C52"/>
      <c r="D52"/>
      <c r="E52" s="7"/>
    </row>
    <row r="53" spans="1:8" x14ac:dyDescent="0.25">
      <c r="C53"/>
      <c r="D53"/>
      <c r="E53" s="7"/>
    </row>
    <row r="54" spans="1:8" x14ac:dyDescent="0.25">
      <c r="C54"/>
      <c r="D54"/>
      <c r="E54" s="7"/>
    </row>
    <row r="55" spans="1:8" x14ac:dyDescent="0.25">
      <c r="C55"/>
      <c r="D55"/>
      <c r="E55" s="7"/>
    </row>
    <row r="56" spans="1:8" x14ac:dyDescent="0.25">
      <c r="C56"/>
      <c r="D56"/>
      <c r="E56" s="7"/>
    </row>
    <row r="57" spans="1:8" s="17" customFormat="1" x14ac:dyDescent="0.25">
      <c r="A57" s="16"/>
      <c r="E57" s="24"/>
    </row>
    <row r="58" spans="1:8" x14ac:dyDescent="0.25">
      <c r="C58"/>
      <c r="D58"/>
      <c r="E58" s="7"/>
    </row>
    <row r="59" spans="1:8" s="6" customFormat="1" x14ac:dyDescent="0.25">
      <c r="A59" s="1"/>
      <c r="B59"/>
      <c r="C59"/>
      <c r="D59"/>
      <c r="E59" s="23"/>
      <c r="G59"/>
      <c r="H59"/>
    </row>
    <row r="60" spans="1:8" s="6" customFormat="1" x14ac:dyDescent="0.25">
      <c r="A60" s="1"/>
      <c r="B60"/>
      <c r="C60"/>
      <c r="D60"/>
      <c r="E60" s="23"/>
      <c r="G60"/>
      <c r="H60"/>
    </row>
    <row r="61" spans="1:8" x14ac:dyDescent="0.25">
      <c r="C61"/>
      <c r="D61"/>
      <c r="E61" s="7"/>
    </row>
    <row r="62" spans="1:8" x14ac:dyDescent="0.25">
      <c r="C62"/>
      <c r="D62"/>
      <c r="E62" s="7"/>
    </row>
    <row r="63" spans="1:8" x14ac:dyDescent="0.25">
      <c r="C63"/>
      <c r="D63"/>
      <c r="E63" s="7"/>
    </row>
    <row r="64" spans="1:8" s="17" customFormat="1" x14ac:dyDescent="0.25">
      <c r="A64" s="16"/>
      <c r="E64" s="24"/>
    </row>
    <row r="65" spans="1:8" x14ac:dyDescent="0.25">
      <c r="C65"/>
      <c r="D65"/>
      <c r="E65" s="7"/>
    </row>
    <row r="66" spans="1:8" x14ac:dyDescent="0.25">
      <c r="C66"/>
      <c r="D66"/>
      <c r="E66" s="7"/>
    </row>
    <row r="67" spans="1:8" x14ac:dyDescent="0.25">
      <c r="C67"/>
      <c r="D67"/>
      <c r="E67" s="7"/>
    </row>
    <row r="68" spans="1:8" x14ac:dyDescent="0.25">
      <c r="C68"/>
      <c r="D68"/>
      <c r="E68" s="7"/>
    </row>
    <row r="69" spans="1:8" x14ac:dyDescent="0.25">
      <c r="C69"/>
      <c r="D69"/>
      <c r="E69" s="7"/>
    </row>
    <row r="70" spans="1:8" x14ac:dyDescent="0.25">
      <c r="C70"/>
      <c r="D70"/>
      <c r="E70" s="7"/>
    </row>
    <row r="71" spans="1:8" s="17" customFormat="1" x14ac:dyDescent="0.25">
      <c r="A71" s="16"/>
      <c r="E71" s="24"/>
    </row>
    <row r="72" spans="1:8" x14ac:dyDescent="0.25">
      <c r="C72"/>
      <c r="D72"/>
      <c r="E72" s="7"/>
    </row>
    <row r="73" spans="1:8" x14ac:dyDescent="0.25">
      <c r="C73"/>
      <c r="D73"/>
      <c r="E73" s="7"/>
    </row>
    <row r="74" spans="1:8" x14ac:dyDescent="0.25">
      <c r="C74"/>
      <c r="D74"/>
      <c r="E74" s="7"/>
    </row>
    <row r="75" spans="1:8" x14ac:dyDescent="0.25">
      <c r="C75"/>
      <c r="D75"/>
      <c r="E75" s="7"/>
    </row>
    <row r="76" spans="1:8" x14ac:dyDescent="0.25">
      <c r="C76"/>
      <c r="D76"/>
      <c r="E76" s="7"/>
    </row>
    <row r="77" spans="1:8" x14ac:dyDescent="0.25">
      <c r="C77"/>
      <c r="D77"/>
      <c r="E77" s="7"/>
    </row>
    <row r="78" spans="1:8" s="17" customFormat="1" x14ac:dyDescent="0.25">
      <c r="A78" s="16"/>
      <c r="E78" s="24"/>
    </row>
    <row r="79" spans="1:8" s="6" customFormat="1" x14ac:dyDescent="0.25">
      <c r="A79" s="1"/>
      <c r="B79"/>
      <c r="C79"/>
      <c r="D79"/>
      <c r="E79" s="23"/>
      <c r="G79"/>
      <c r="H79"/>
    </row>
    <row r="80" spans="1:8" s="6" customFormat="1" x14ac:dyDescent="0.25">
      <c r="A80" s="1"/>
      <c r="B80"/>
      <c r="C80"/>
      <c r="D80"/>
      <c r="E80" s="23"/>
      <c r="G80"/>
      <c r="H80"/>
    </row>
    <row r="81" spans="1:5" x14ac:dyDescent="0.25">
      <c r="C81"/>
      <c r="D81"/>
      <c r="E81" s="7"/>
    </row>
    <row r="82" spans="1:5" x14ac:dyDescent="0.25">
      <c r="C82"/>
      <c r="D82"/>
      <c r="E82" s="7"/>
    </row>
    <row r="83" spans="1:5" x14ac:dyDescent="0.25">
      <c r="C83"/>
      <c r="D83"/>
      <c r="E83" s="7"/>
    </row>
    <row r="84" spans="1:5" x14ac:dyDescent="0.25">
      <c r="C84"/>
      <c r="D84"/>
      <c r="E84" s="7"/>
    </row>
    <row r="85" spans="1:5" s="17" customFormat="1" x14ac:dyDescent="0.25">
      <c r="A85" s="16"/>
      <c r="E85" s="24"/>
    </row>
    <row r="86" spans="1:5" x14ac:dyDescent="0.25">
      <c r="C86"/>
      <c r="D86"/>
      <c r="E86" s="7"/>
    </row>
    <row r="87" spans="1:5" x14ac:dyDescent="0.25">
      <c r="C87"/>
      <c r="D87"/>
      <c r="E87" s="7"/>
    </row>
    <row r="88" spans="1:5" x14ac:dyDescent="0.25">
      <c r="C88"/>
      <c r="D88"/>
      <c r="E88" s="7"/>
    </row>
    <row r="89" spans="1:5" x14ac:dyDescent="0.25">
      <c r="C89"/>
      <c r="D89"/>
      <c r="E89" s="7"/>
    </row>
    <row r="90" spans="1:5" x14ac:dyDescent="0.25">
      <c r="C90"/>
      <c r="D90"/>
      <c r="E90" s="7"/>
    </row>
    <row r="91" spans="1:5" x14ac:dyDescent="0.25">
      <c r="C91"/>
      <c r="D91"/>
      <c r="E91" s="7"/>
    </row>
    <row r="92" spans="1:5" s="17" customFormat="1" x14ac:dyDescent="0.25">
      <c r="A92" s="16"/>
      <c r="E92" s="24"/>
    </row>
    <row r="93" spans="1:5" x14ac:dyDescent="0.25">
      <c r="C93"/>
      <c r="D93"/>
      <c r="E93" s="7"/>
    </row>
    <row r="94" spans="1:5" x14ac:dyDescent="0.25">
      <c r="C94"/>
      <c r="D94"/>
      <c r="E94" s="7"/>
    </row>
    <row r="95" spans="1:5" x14ac:dyDescent="0.25">
      <c r="C95"/>
      <c r="D95"/>
      <c r="E95" s="7"/>
    </row>
    <row r="96" spans="1:5" x14ac:dyDescent="0.25">
      <c r="C96"/>
      <c r="D96"/>
      <c r="E96" s="7"/>
    </row>
    <row r="97" spans="1:8" x14ac:dyDescent="0.25">
      <c r="C97"/>
      <c r="D97"/>
      <c r="E97" s="7"/>
    </row>
    <row r="98" spans="1:8" x14ac:dyDescent="0.25">
      <c r="C98"/>
      <c r="D98"/>
      <c r="E98" s="7"/>
    </row>
    <row r="99" spans="1:8" s="17" customFormat="1" x14ac:dyDescent="0.25">
      <c r="A99" s="16"/>
      <c r="E99" s="24"/>
    </row>
    <row r="100" spans="1:8" s="6" customFormat="1" x14ac:dyDescent="0.25">
      <c r="A100" s="1"/>
      <c r="B100"/>
      <c r="C100"/>
      <c r="D100"/>
      <c r="E100" s="23"/>
      <c r="G100"/>
      <c r="H100"/>
    </row>
    <row r="101" spans="1:8" x14ac:dyDescent="0.25">
      <c r="C101"/>
      <c r="D101"/>
      <c r="E101" s="7"/>
    </row>
    <row r="102" spans="1:8" x14ac:dyDescent="0.25">
      <c r="C102"/>
      <c r="D102"/>
      <c r="E102" s="7"/>
    </row>
    <row r="103" spans="1:8" x14ac:dyDescent="0.25">
      <c r="C103"/>
      <c r="D103"/>
      <c r="E103" s="7"/>
    </row>
    <row r="104" spans="1:8" x14ac:dyDescent="0.25">
      <c r="C104"/>
      <c r="D104"/>
      <c r="E104" s="7"/>
    </row>
    <row r="105" spans="1:8" x14ac:dyDescent="0.25">
      <c r="C105"/>
      <c r="D105"/>
      <c r="E105" s="7"/>
    </row>
    <row r="106" spans="1:8" s="17" customFormat="1" x14ac:dyDescent="0.25">
      <c r="A106" s="16"/>
      <c r="E106" s="24"/>
    </row>
    <row r="107" spans="1:8" x14ac:dyDescent="0.25">
      <c r="C107"/>
      <c r="D107"/>
      <c r="E107" s="7"/>
    </row>
    <row r="108" spans="1:8" x14ac:dyDescent="0.25">
      <c r="C108"/>
      <c r="D108"/>
      <c r="E108" s="7"/>
    </row>
    <row r="109" spans="1:8" x14ac:dyDescent="0.25">
      <c r="C109"/>
      <c r="D109"/>
      <c r="E109" s="7"/>
    </row>
    <row r="110" spans="1:8" x14ac:dyDescent="0.25">
      <c r="C110"/>
      <c r="D110"/>
      <c r="E110" s="7"/>
    </row>
    <row r="111" spans="1:8" x14ac:dyDescent="0.25">
      <c r="C111"/>
      <c r="D111"/>
      <c r="E111" s="7"/>
    </row>
    <row r="112" spans="1:8" x14ac:dyDescent="0.25">
      <c r="C112"/>
      <c r="D112"/>
      <c r="E112" s="7"/>
    </row>
    <row r="113" spans="1:5" s="17" customFormat="1" x14ac:dyDescent="0.25">
      <c r="A113" s="16"/>
      <c r="E113" s="24"/>
    </row>
    <row r="114" spans="1:5" x14ac:dyDescent="0.25">
      <c r="C114"/>
      <c r="D114"/>
      <c r="E114" s="7"/>
    </row>
    <row r="115" spans="1:5" x14ac:dyDescent="0.25">
      <c r="C115"/>
      <c r="D115"/>
      <c r="E115" s="7"/>
    </row>
    <row r="116" spans="1:5" x14ac:dyDescent="0.25">
      <c r="C116"/>
      <c r="D116"/>
      <c r="E116" s="7"/>
    </row>
    <row r="117" spans="1:5" x14ac:dyDescent="0.25">
      <c r="C117"/>
      <c r="D117"/>
      <c r="E117" s="7"/>
    </row>
    <row r="118" spans="1:5" x14ac:dyDescent="0.25">
      <c r="C118"/>
      <c r="D118"/>
      <c r="E118" s="7"/>
    </row>
    <row r="119" spans="1:5" x14ac:dyDescent="0.25">
      <c r="C119"/>
      <c r="D119"/>
      <c r="E119" s="7"/>
    </row>
    <row r="120" spans="1:5" s="17" customFormat="1" x14ac:dyDescent="0.25">
      <c r="A120" s="16"/>
      <c r="E120" s="24"/>
    </row>
    <row r="121" spans="1:5" x14ac:dyDescent="0.25">
      <c r="C121"/>
      <c r="D121"/>
      <c r="E121" s="7"/>
    </row>
    <row r="122" spans="1:5" x14ac:dyDescent="0.25">
      <c r="C122"/>
      <c r="D122"/>
      <c r="E122" s="7"/>
    </row>
    <row r="123" spans="1:5" x14ac:dyDescent="0.25">
      <c r="C123"/>
      <c r="D123"/>
      <c r="E123" s="7"/>
    </row>
    <row r="124" spans="1:5" x14ac:dyDescent="0.25">
      <c r="C124"/>
      <c r="D124"/>
      <c r="E124" s="7"/>
    </row>
    <row r="125" spans="1:5" x14ac:dyDescent="0.25">
      <c r="C125"/>
      <c r="D125"/>
      <c r="E125" s="7"/>
    </row>
    <row r="126" spans="1:5" x14ac:dyDescent="0.25">
      <c r="C126"/>
      <c r="D126"/>
      <c r="E126" s="7"/>
    </row>
    <row r="127" spans="1:5" s="17" customFormat="1" x14ac:dyDescent="0.25">
      <c r="A127" s="16"/>
      <c r="E127" s="24"/>
    </row>
    <row r="128" spans="1:5" x14ac:dyDescent="0.25">
      <c r="C128"/>
      <c r="D128"/>
      <c r="E128" s="7"/>
    </row>
    <row r="129" spans="1:5" x14ac:dyDescent="0.25">
      <c r="C129"/>
      <c r="D129"/>
      <c r="E129" s="7"/>
    </row>
    <row r="130" spans="1:5" x14ac:dyDescent="0.25">
      <c r="C130"/>
      <c r="D130"/>
      <c r="E130" s="7"/>
    </row>
    <row r="131" spans="1:5" x14ac:dyDescent="0.25">
      <c r="C131"/>
      <c r="D131"/>
      <c r="E131" s="7"/>
    </row>
    <row r="132" spans="1:5" x14ac:dyDescent="0.25">
      <c r="C132"/>
      <c r="D132"/>
      <c r="E132" s="7"/>
    </row>
    <row r="133" spans="1:5" x14ac:dyDescent="0.25">
      <c r="C133"/>
      <c r="D133"/>
      <c r="E133" s="7"/>
    </row>
    <row r="134" spans="1:5" s="17" customFormat="1" x14ac:dyDescent="0.25">
      <c r="A134" s="16"/>
      <c r="E134" s="24"/>
    </row>
    <row r="135" spans="1:5" x14ac:dyDescent="0.25">
      <c r="C135"/>
      <c r="D135"/>
      <c r="E135" s="7"/>
    </row>
    <row r="136" spans="1:5" x14ac:dyDescent="0.25">
      <c r="C136"/>
      <c r="D136"/>
      <c r="E136" s="7"/>
    </row>
    <row r="137" spans="1:5" x14ac:dyDescent="0.25">
      <c r="C137"/>
      <c r="D137"/>
      <c r="E137" s="7"/>
    </row>
    <row r="138" spans="1:5" x14ac:dyDescent="0.25">
      <c r="C138"/>
      <c r="D138"/>
      <c r="E138" s="7"/>
    </row>
    <row r="139" spans="1:5" x14ac:dyDescent="0.25">
      <c r="C139"/>
      <c r="D139"/>
      <c r="E139" s="7"/>
    </row>
    <row r="140" spans="1:5" x14ac:dyDescent="0.25">
      <c r="C140"/>
      <c r="D140"/>
      <c r="E140" s="7"/>
    </row>
    <row r="141" spans="1:5" s="17" customFormat="1" x14ac:dyDescent="0.25">
      <c r="A141" s="16"/>
      <c r="E141" s="24"/>
    </row>
  </sheetData>
  <conditionalFormatting sqref="E2:E36">
    <cfRule type="containsText" dxfId="0" priority="2" operator="containsText" text="No">
      <formula>NOT(ISERROR(SEARCH("No",E2)))</formula>
    </cfRule>
    <cfRule type="iconSet" priority="3">
      <iconSet iconSet="3Symbols2">
        <cfvo type="percent" val="0"/>
        <cfvo type="percent" val="33"/>
        <cfvo type="percent" val="67"/>
      </iconSet>
    </cfRule>
  </conditionalFormatting>
  <dataValidations count="2">
    <dataValidation type="decimal" allowBlank="1" showInputMessage="1" showErrorMessage="1" sqref="C1">
      <formula1>0</formula1>
      <formula2>24</formula2>
    </dataValidation>
    <dataValidation type="decimal" allowBlank="1" showInputMessage="1" showErrorMessage="1" sqref="C2:C141">
      <formula1>0</formula1>
      <formula2>24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'Validation Lists'!$D$2:$D$3</xm:f>
          </x14:formula1>
          <xm:sqref>E2:E141</xm:sqref>
        </x14:dataValidation>
        <x14:dataValidation type="list" allowBlank="1" showInputMessage="1" showErrorMessage="1">
          <x14:formula1>
            <xm:f>Projects!$A$1:$A$39</xm:f>
          </x14:formula1>
          <xm:sqref>B1</xm:sqref>
        </x14:dataValidation>
        <x14:dataValidation type="date" allowBlank="1" showInputMessage="1" showErrorMessage="1">
          <x14:formula1>
            <xm:f>Name!A6</xm:f>
          </x14:formula1>
          <x14:formula2>
            <xm:f>Name!A9</xm:f>
          </x14:formula2>
          <xm:sqref>A1</xm:sqref>
        </x14:dataValidation>
        <x14:dataValidation type="list" allowBlank="1" showInputMessage="1" showErrorMessage="1">
          <x14:formula1>
            <xm:f>Name!$A$6:$A$18</xm:f>
          </x14:formula1>
          <xm:sqref>A2:A141</xm:sqref>
        </x14:dataValidation>
        <x14:dataValidation type="list" allowBlank="1" showInputMessage="1" showErrorMessage="1">
          <x14:formula1>
            <xm:f>Projects!$A$2:$A$68</xm:f>
          </x14:formula1>
          <xm:sqref>B2:B141</xm:sqref>
        </x14:dataValidation>
        <x14:dataValidation type="list" allowBlank="1" showInputMessage="1" showErrorMessage="1">
          <x14:formula1>
            <xm:f>'Validation Lists'!$A$2:$A$10</xm:f>
          </x14:formula1>
          <xm:sqref>G2:G141</xm:sqref>
        </x14:dataValidation>
        <x14:dataValidation type="list" allowBlank="1" showInputMessage="1" showErrorMessage="1">
          <x14:formula1>
            <xm:f>'Validation Lists'!$C$2:$C$11</xm:f>
          </x14:formula1>
          <xm:sqref>H2:H141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8"/>
  <sheetViews>
    <sheetView topLeftCell="A32" workbookViewId="0">
      <selection activeCell="C29" sqref="C29"/>
    </sheetView>
  </sheetViews>
  <sheetFormatPr defaultRowHeight="15" x14ac:dyDescent="0.25"/>
  <cols>
    <col min="1" max="1" width="41.28515625" customWidth="1"/>
    <col min="2" max="2" width="41.5703125" customWidth="1"/>
    <col min="3" max="3" width="73.28515625" customWidth="1"/>
  </cols>
  <sheetData>
    <row r="1" spans="1:4" x14ac:dyDescent="0.25">
      <c r="A1" s="3" t="s">
        <v>53</v>
      </c>
      <c r="B1" s="3" t="s">
        <v>31</v>
      </c>
      <c r="C1" s="3" t="s">
        <v>32</v>
      </c>
      <c r="D1" s="3" t="s">
        <v>49</v>
      </c>
    </row>
    <row r="2" spans="1:4" x14ac:dyDescent="0.25">
      <c r="A2" t="s">
        <v>30</v>
      </c>
      <c r="B2" t="s">
        <v>36</v>
      </c>
      <c r="C2" s="2" t="s">
        <v>44</v>
      </c>
    </row>
    <row r="3" spans="1:4" x14ac:dyDescent="0.25">
      <c r="A3" t="s">
        <v>24</v>
      </c>
      <c r="B3" t="s">
        <v>36</v>
      </c>
    </row>
    <row r="4" spans="1:4" x14ac:dyDescent="0.25">
      <c r="A4" t="s">
        <v>25</v>
      </c>
      <c r="B4" t="s">
        <v>36</v>
      </c>
      <c r="C4" t="s">
        <v>45</v>
      </c>
    </row>
    <row r="5" spans="1:4" x14ac:dyDescent="0.25">
      <c r="A5" t="s">
        <v>62</v>
      </c>
      <c r="B5" t="s">
        <v>36</v>
      </c>
    </row>
    <row r="6" spans="1:4" x14ac:dyDescent="0.25">
      <c r="A6" t="s">
        <v>63</v>
      </c>
      <c r="B6" t="s">
        <v>36</v>
      </c>
    </row>
    <row r="7" spans="1:4" x14ac:dyDescent="0.25">
      <c r="A7" t="s">
        <v>26</v>
      </c>
      <c r="B7" t="s">
        <v>41</v>
      </c>
    </row>
    <row r="8" spans="1:4" x14ac:dyDescent="0.25">
      <c r="A8" t="s">
        <v>27</v>
      </c>
      <c r="B8" t="s">
        <v>41</v>
      </c>
      <c r="C8" t="s">
        <v>116</v>
      </c>
    </row>
    <row r="9" spans="1:4" x14ac:dyDescent="0.25">
      <c r="A9" t="s">
        <v>28</v>
      </c>
      <c r="B9" t="s">
        <v>41</v>
      </c>
    </row>
    <row r="10" spans="1:4" x14ac:dyDescent="0.25">
      <c r="A10" t="s">
        <v>64</v>
      </c>
      <c r="B10" t="s">
        <v>41</v>
      </c>
    </row>
    <row r="11" spans="1:4" x14ac:dyDescent="0.25">
      <c r="A11" t="s">
        <v>65</v>
      </c>
      <c r="B11" t="s">
        <v>41</v>
      </c>
    </row>
    <row r="12" spans="1:4" x14ac:dyDescent="0.25">
      <c r="A12" t="s">
        <v>66</v>
      </c>
      <c r="B12" t="s">
        <v>41</v>
      </c>
    </row>
    <row r="13" spans="1:4" x14ac:dyDescent="0.25">
      <c r="A13" t="s">
        <v>67</v>
      </c>
      <c r="B13" t="s">
        <v>41</v>
      </c>
    </row>
    <row r="14" spans="1:4" x14ac:dyDescent="0.25">
      <c r="A14" t="s">
        <v>68</v>
      </c>
      <c r="B14" t="s">
        <v>41</v>
      </c>
    </row>
    <row r="15" spans="1:4" x14ac:dyDescent="0.25">
      <c r="A15" t="s">
        <v>69</v>
      </c>
      <c r="B15" t="s">
        <v>41</v>
      </c>
      <c r="C15" t="s">
        <v>117</v>
      </c>
    </row>
    <row r="16" spans="1:4" x14ac:dyDescent="0.25">
      <c r="A16" t="s">
        <v>70</v>
      </c>
      <c r="B16" t="s">
        <v>41</v>
      </c>
    </row>
    <row r="17" spans="1:3" x14ac:dyDescent="0.25">
      <c r="A17" t="s">
        <v>29</v>
      </c>
      <c r="B17" t="s">
        <v>29</v>
      </c>
    </row>
    <row r="18" spans="1:3" x14ac:dyDescent="0.25">
      <c r="A18" t="s">
        <v>71</v>
      </c>
      <c r="B18" t="s">
        <v>41</v>
      </c>
      <c r="C18" t="s">
        <v>118</v>
      </c>
    </row>
    <row r="19" spans="1:3" x14ac:dyDescent="0.25">
      <c r="A19" t="s">
        <v>72</v>
      </c>
      <c r="B19" t="s">
        <v>39</v>
      </c>
    </row>
    <row r="20" spans="1:3" x14ac:dyDescent="0.25">
      <c r="A20" t="s">
        <v>73</v>
      </c>
      <c r="B20" t="s">
        <v>42</v>
      </c>
      <c r="C20" t="s">
        <v>119</v>
      </c>
    </row>
    <row r="21" spans="1:3" x14ac:dyDescent="0.25">
      <c r="A21" t="s">
        <v>74</v>
      </c>
      <c r="B21" t="s">
        <v>39</v>
      </c>
    </row>
    <row r="22" spans="1:3" x14ac:dyDescent="0.25">
      <c r="A22" t="s">
        <v>59</v>
      </c>
      <c r="B22" t="s">
        <v>39</v>
      </c>
    </row>
    <row r="23" spans="1:3" x14ac:dyDescent="0.25">
      <c r="A23" t="s">
        <v>75</v>
      </c>
      <c r="B23" t="s">
        <v>41</v>
      </c>
    </row>
    <row r="24" spans="1:3" x14ac:dyDescent="0.25">
      <c r="A24" t="s">
        <v>46</v>
      </c>
      <c r="B24" t="s">
        <v>42</v>
      </c>
      <c r="C24" t="s">
        <v>47</v>
      </c>
    </row>
    <row r="25" spans="1:3" x14ac:dyDescent="0.25">
      <c r="A25" t="s">
        <v>76</v>
      </c>
      <c r="B25" t="s">
        <v>42</v>
      </c>
    </row>
    <row r="26" spans="1:3" x14ac:dyDescent="0.25">
      <c r="A26" t="s">
        <v>39</v>
      </c>
      <c r="B26" t="s">
        <v>39</v>
      </c>
    </row>
    <row r="27" spans="1:3" x14ac:dyDescent="0.25">
      <c r="A27" t="s">
        <v>77</v>
      </c>
      <c r="B27" t="s">
        <v>36</v>
      </c>
    </row>
    <row r="28" spans="1:3" x14ac:dyDescent="0.25">
      <c r="A28" t="s">
        <v>78</v>
      </c>
      <c r="B28" t="s">
        <v>39</v>
      </c>
    </row>
    <row r="29" spans="1:3" x14ac:dyDescent="0.25">
      <c r="A29" t="s">
        <v>79</v>
      </c>
      <c r="B29" t="s">
        <v>39</v>
      </c>
    </row>
    <row r="30" spans="1:3" x14ac:dyDescent="0.25">
      <c r="A30" t="s">
        <v>58</v>
      </c>
      <c r="B30" t="s">
        <v>39</v>
      </c>
    </row>
    <row r="31" spans="1:3" x14ac:dyDescent="0.25">
      <c r="A31" t="s">
        <v>80</v>
      </c>
      <c r="B31" t="s">
        <v>36</v>
      </c>
    </row>
    <row r="32" spans="1:3" x14ac:dyDescent="0.25">
      <c r="A32" t="s">
        <v>82</v>
      </c>
      <c r="B32" t="s">
        <v>36</v>
      </c>
    </row>
    <row r="33" spans="1:3" x14ac:dyDescent="0.25">
      <c r="A33" t="s">
        <v>83</v>
      </c>
      <c r="B33" t="s">
        <v>36</v>
      </c>
    </row>
    <row r="34" spans="1:3" x14ac:dyDescent="0.25">
      <c r="A34" t="s">
        <v>84</v>
      </c>
      <c r="B34" t="s">
        <v>36</v>
      </c>
    </row>
    <row r="35" spans="1:3" x14ac:dyDescent="0.25">
      <c r="A35" t="s">
        <v>85</v>
      </c>
      <c r="B35" t="s">
        <v>36</v>
      </c>
    </row>
    <row r="36" spans="1:3" x14ac:dyDescent="0.25">
      <c r="A36" t="s">
        <v>81</v>
      </c>
      <c r="B36" t="s">
        <v>36</v>
      </c>
    </row>
    <row r="37" spans="1:3" x14ac:dyDescent="0.25">
      <c r="A37" t="s">
        <v>86</v>
      </c>
      <c r="B37" t="s">
        <v>36</v>
      </c>
    </row>
    <row r="38" spans="1:3" x14ac:dyDescent="0.25">
      <c r="A38" t="s">
        <v>87</v>
      </c>
      <c r="B38" t="s">
        <v>42</v>
      </c>
    </row>
    <row r="39" spans="1:3" x14ac:dyDescent="0.25">
      <c r="A39" t="s">
        <v>88</v>
      </c>
      <c r="B39" t="s">
        <v>39</v>
      </c>
    </row>
    <row r="40" spans="1:3" x14ac:dyDescent="0.25">
      <c r="A40" t="s">
        <v>89</v>
      </c>
      <c r="B40" t="s">
        <v>42</v>
      </c>
      <c r="C40" t="s">
        <v>120</v>
      </c>
    </row>
    <row r="41" spans="1:3" x14ac:dyDescent="0.25">
      <c r="A41" t="s">
        <v>90</v>
      </c>
      <c r="B41" t="s">
        <v>36</v>
      </c>
    </row>
    <row r="42" spans="1:3" x14ac:dyDescent="0.25">
      <c r="A42" t="s">
        <v>91</v>
      </c>
      <c r="B42" t="s">
        <v>39</v>
      </c>
    </row>
    <row r="43" spans="1:3" x14ac:dyDescent="0.25">
      <c r="A43" t="s">
        <v>92</v>
      </c>
      <c r="B43" t="s">
        <v>42</v>
      </c>
    </row>
    <row r="44" spans="1:3" x14ac:dyDescent="0.25">
      <c r="A44" t="s">
        <v>93</v>
      </c>
      <c r="B44" t="s">
        <v>42</v>
      </c>
    </row>
    <row r="45" spans="1:3" x14ac:dyDescent="0.25">
      <c r="A45" t="s">
        <v>94</v>
      </c>
      <c r="B45" t="s">
        <v>38</v>
      </c>
    </row>
    <row r="46" spans="1:3" x14ac:dyDescent="0.25">
      <c r="A46" t="s">
        <v>95</v>
      </c>
      <c r="B46" t="s">
        <v>36</v>
      </c>
    </row>
    <row r="47" spans="1:3" x14ac:dyDescent="0.25">
      <c r="A47" t="s">
        <v>96</v>
      </c>
      <c r="B47" t="s">
        <v>36</v>
      </c>
    </row>
    <row r="48" spans="1:3" x14ac:dyDescent="0.25">
      <c r="A48" t="s">
        <v>97</v>
      </c>
      <c r="B48" t="s">
        <v>36</v>
      </c>
    </row>
    <row r="49" spans="1:3" x14ac:dyDescent="0.25">
      <c r="A49" t="s">
        <v>98</v>
      </c>
      <c r="B49" t="s">
        <v>41</v>
      </c>
    </row>
    <row r="50" spans="1:3" x14ac:dyDescent="0.25">
      <c r="A50" t="s">
        <v>99</v>
      </c>
      <c r="B50" t="s">
        <v>41</v>
      </c>
    </row>
    <row r="51" spans="1:3" x14ac:dyDescent="0.25">
      <c r="A51" t="s">
        <v>100</v>
      </c>
      <c r="B51" t="s">
        <v>41</v>
      </c>
    </row>
    <row r="52" spans="1:3" x14ac:dyDescent="0.25">
      <c r="A52" t="s">
        <v>101</v>
      </c>
      <c r="B52" t="s">
        <v>41</v>
      </c>
    </row>
    <row r="53" spans="1:3" x14ac:dyDescent="0.25">
      <c r="A53" t="s">
        <v>102</v>
      </c>
      <c r="B53" t="s">
        <v>38</v>
      </c>
    </row>
    <row r="54" spans="1:3" x14ac:dyDescent="0.25">
      <c r="A54" t="s">
        <v>103</v>
      </c>
      <c r="B54" t="s">
        <v>36</v>
      </c>
    </row>
    <row r="55" spans="1:3" x14ac:dyDescent="0.25">
      <c r="A55" t="s">
        <v>104</v>
      </c>
      <c r="B55" t="s">
        <v>36</v>
      </c>
    </row>
    <row r="56" spans="1:3" x14ac:dyDescent="0.25">
      <c r="A56" t="s">
        <v>105</v>
      </c>
      <c r="B56" t="s">
        <v>36</v>
      </c>
    </row>
    <row r="57" spans="1:3" x14ac:dyDescent="0.25">
      <c r="A57" t="s">
        <v>60</v>
      </c>
      <c r="B57" t="s">
        <v>39</v>
      </c>
    </row>
    <row r="58" spans="1:3" x14ac:dyDescent="0.25">
      <c r="A58" t="s">
        <v>106</v>
      </c>
      <c r="B58" t="s">
        <v>36</v>
      </c>
    </row>
    <row r="59" spans="1:3" x14ac:dyDescent="0.25">
      <c r="A59" t="s">
        <v>107</v>
      </c>
      <c r="B59" t="s">
        <v>36</v>
      </c>
    </row>
    <row r="60" spans="1:3" x14ac:dyDescent="0.25">
      <c r="A60" t="s">
        <v>108</v>
      </c>
      <c r="B60" t="s">
        <v>36</v>
      </c>
    </row>
    <row r="61" spans="1:3" x14ac:dyDescent="0.25">
      <c r="A61" t="s">
        <v>109</v>
      </c>
      <c r="B61" t="s">
        <v>37</v>
      </c>
      <c r="C61" t="s">
        <v>121</v>
      </c>
    </row>
    <row r="62" spans="1:3" x14ac:dyDescent="0.25">
      <c r="A62" t="s">
        <v>110</v>
      </c>
      <c r="B62" t="s">
        <v>42</v>
      </c>
    </row>
    <row r="63" spans="1:3" x14ac:dyDescent="0.25">
      <c r="A63" t="s">
        <v>111</v>
      </c>
      <c r="B63" t="s">
        <v>36</v>
      </c>
    </row>
    <row r="64" spans="1:3" x14ac:dyDescent="0.25">
      <c r="A64" t="s">
        <v>43</v>
      </c>
      <c r="B64" t="s">
        <v>43</v>
      </c>
    </row>
    <row r="65" spans="1:3" x14ac:dyDescent="0.25">
      <c r="A65" t="s">
        <v>112</v>
      </c>
      <c r="B65" t="s">
        <v>42</v>
      </c>
    </row>
    <row r="66" spans="1:3" x14ac:dyDescent="0.25">
      <c r="A66" t="s">
        <v>113</v>
      </c>
      <c r="B66" t="s">
        <v>42</v>
      </c>
    </row>
    <row r="67" spans="1:3" x14ac:dyDescent="0.25">
      <c r="A67" t="s">
        <v>114</v>
      </c>
      <c r="B67" t="s">
        <v>42</v>
      </c>
    </row>
    <row r="68" spans="1:3" x14ac:dyDescent="0.25">
      <c r="A68" t="s">
        <v>115</v>
      </c>
      <c r="B68" t="s">
        <v>41</v>
      </c>
      <c r="C68" t="s">
        <v>122</v>
      </c>
    </row>
  </sheetData>
  <sortState ref="A2:A69">
    <sortCondition ref="A2:A69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'Validation Lists'!$C$1:$C$11</xm:f>
          </x14:formula1>
          <xm:sqref>B2:B68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5"/>
  <sheetViews>
    <sheetView workbookViewId="0">
      <selection activeCell="A2" sqref="A2"/>
    </sheetView>
  </sheetViews>
  <sheetFormatPr defaultRowHeight="15" x14ac:dyDescent="0.25"/>
  <cols>
    <col min="1" max="1" width="41.7109375" customWidth="1"/>
    <col min="2" max="2" width="19.28515625" customWidth="1"/>
    <col min="3" max="3" width="39.85546875" customWidth="1"/>
    <col min="4" max="4" width="11.42578125" customWidth="1"/>
    <col min="5" max="5" width="13.42578125" customWidth="1"/>
    <col min="6" max="6" width="10.7109375" style="1" bestFit="1" customWidth="1"/>
  </cols>
  <sheetData>
    <row r="1" spans="1:6" x14ac:dyDescent="0.25">
      <c r="A1" t="s">
        <v>9</v>
      </c>
      <c r="B1" t="s">
        <v>33</v>
      </c>
      <c r="C1" t="s">
        <v>34</v>
      </c>
      <c r="D1" t="s">
        <v>50</v>
      </c>
      <c r="E1" t="s">
        <v>56</v>
      </c>
      <c r="F1" s="1" t="s">
        <v>61</v>
      </c>
    </row>
    <row r="2" spans="1:6" x14ac:dyDescent="0.25">
      <c r="A2" t="s">
        <v>1</v>
      </c>
      <c r="B2" t="s">
        <v>12</v>
      </c>
      <c r="C2" t="s">
        <v>35</v>
      </c>
      <c r="D2" t="s">
        <v>51</v>
      </c>
      <c r="E2">
        <v>1</v>
      </c>
      <c r="F2" s="1">
        <v>41637</v>
      </c>
    </row>
    <row r="3" spans="1:6" x14ac:dyDescent="0.25">
      <c r="A3" t="s">
        <v>2</v>
      </c>
      <c r="B3" t="s">
        <v>13</v>
      </c>
      <c r="C3" t="s">
        <v>29</v>
      </c>
      <c r="D3" t="s">
        <v>52</v>
      </c>
      <c r="E3">
        <v>0</v>
      </c>
      <c r="F3" s="1">
        <f>F2+7</f>
        <v>41644</v>
      </c>
    </row>
    <row r="4" spans="1:6" x14ac:dyDescent="0.25">
      <c r="A4" t="s">
        <v>3</v>
      </c>
      <c r="B4" t="s">
        <v>14</v>
      </c>
      <c r="C4" t="s">
        <v>36</v>
      </c>
      <c r="F4" s="1">
        <f>F3+7</f>
        <v>41651</v>
      </c>
    </row>
    <row r="5" spans="1:6" x14ac:dyDescent="0.25">
      <c r="A5" t="s">
        <v>4</v>
      </c>
      <c r="B5" t="s">
        <v>15</v>
      </c>
      <c r="C5" t="s">
        <v>37</v>
      </c>
      <c r="F5" s="1">
        <f t="shared" ref="F5:F39" si="0">F4+7</f>
        <v>41658</v>
      </c>
    </row>
    <row r="6" spans="1:6" x14ac:dyDescent="0.25">
      <c r="A6" t="s">
        <v>5</v>
      </c>
      <c r="B6" t="s">
        <v>16</v>
      </c>
      <c r="C6" t="s">
        <v>38</v>
      </c>
      <c r="F6" s="1">
        <f t="shared" si="0"/>
        <v>41665</v>
      </c>
    </row>
    <row r="7" spans="1:6" x14ac:dyDescent="0.25">
      <c r="A7" t="s">
        <v>6</v>
      </c>
      <c r="B7" t="s">
        <v>17</v>
      </c>
      <c r="C7" t="s">
        <v>39</v>
      </c>
      <c r="F7" s="1">
        <f t="shared" si="0"/>
        <v>41672</v>
      </c>
    </row>
    <row r="8" spans="1:6" x14ac:dyDescent="0.25">
      <c r="A8" t="s">
        <v>123</v>
      </c>
      <c r="B8" t="s">
        <v>18</v>
      </c>
      <c r="C8" t="s">
        <v>40</v>
      </c>
      <c r="F8" s="1">
        <f t="shared" si="0"/>
        <v>41679</v>
      </c>
    </row>
    <row r="9" spans="1:6" x14ac:dyDescent="0.25">
      <c r="A9" t="s">
        <v>7</v>
      </c>
      <c r="B9" t="s">
        <v>19</v>
      </c>
      <c r="C9" t="s">
        <v>41</v>
      </c>
      <c r="F9" s="1">
        <f t="shared" si="0"/>
        <v>41686</v>
      </c>
    </row>
    <row r="10" spans="1:6" x14ac:dyDescent="0.25">
      <c r="A10" t="s">
        <v>8</v>
      </c>
      <c r="B10" t="s">
        <v>20</v>
      </c>
      <c r="C10" t="s">
        <v>42</v>
      </c>
      <c r="F10" s="1">
        <f t="shared" si="0"/>
        <v>41693</v>
      </c>
    </row>
    <row r="11" spans="1:6" x14ac:dyDescent="0.25">
      <c r="B11" t="s">
        <v>21</v>
      </c>
      <c r="C11" t="s">
        <v>43</v>
      </c>
      <c r="F11" s="1">
        <f t="shared" si="0"/>
        <v>41700</v>
      </c>
    </row>
    <row r="12" spans="1:6" x14ac:dyDescent="0.25">
      <c r="B12" t="s">
        <v>22</v>
      </c>
      <c r="F12" s="1">
        <f t="shared" si="0"/>
        <v>41707</v>
      </c>
    </row>
    <row r="13" spans="1:6" x14ac:dyDescent="0.25">
      <c r="B13" t="s">
        <v>23</v>
      </c>
      <c r="F13" s="1">
        <f t="shared" si="0"/>
        <v>41714</v>
      </c>
    </row>
    <row r="14" spans="1:6" x14ac:dyDescent="0.25">
      <c r="F14" s="1">
        <f t="shared" si="0"/>
        <v>41721</v>
      </c>
    </row>
    <row r="15" spans="1:6" x14ac:dyDescent="0.25">
      <c r="F15" s="1">
        <f t="shared" si="0"/>
        <v>41728</v>
      </c>
    </row>
    <row r="16" spans="1:6" x14ac:dyDescent="0.25">
      <c r="F16" s="1">
        <f t="shared" si="0"/>
        <v>41735</v>
      </c>
    </row>
    <row r="17" spans="6:6" x14ac:dyDescent="0.25">
      <c r="F17" s="1">
        <f t="shared" si="0"/>
        <v>41742</v>
      </c>
    </row>
    <row r="18" spans="6:6" x14ac:dyDescent="0.25">
      <c r="F18" s="1">
        <f t="shared" si="0"/>
        <v>41749</v>
      </c>
    </row>
    <row r="19" spans="6:6" x14ac:dyDescent="0.25">
      <c r="F19" s="1">
        <f t="shared" si="0"/>
        <v>41756</v>
      </c>
    </row>
    <row r="20" spans="6:6" x14ac:dyDescent="0.25">
      <c r="F20" s="1">
        <f t="shared" si="0"/>
        <v>41763</v>
      </c>
    </row>
    <row r="21" spans="6:6" x14ac:dyDescent="0.25">
      <c r="F21" s="1">
        <f t="shared" si="0"/>
        <v>41770</v>
      </c>
    </row>
    <row r="22" spans="6:6" x14ac:dyDescent="0.25">
      <c r="F22" s="1">
        <f t="shared" si="0"/>
        <v>41777</v>
      </c>
    </row>
    <row r="23" spans="6:6" x14ac:dyDescent="0.25">
      <c r="F23" s="1">
        <f t="shared" si="0"/>
        <v>41784</v>
      </c>
    </row>
    <row r="24" spans="6:6" x14ac:dyDescent="0.25">
      <c r="F24" s="1">
        <f t="shared" si="0"/>
        <v>41791</v>
      </c>
    </row>
    <row r="25" spans="6:6" x14ac:dyDescent="0.25">
      <c r="F25" s="1">
        <f t="shared" si="0"/>
        <v>41798</v>
      </c>
    </row>
    <row r="26" spans="6:6" x14ac:dyDescent="0.25">
      <c r="F26" s="1">
        <f t="shared" si="0"/>
        <v>41805</v>
      </c>
    </row>
    <row r="27" spans="6:6" x14ac:dyDescent="0.25">
      <c r="F27" s="1">
        <f t="shared" si="0"/>
        <v>41812</v>
      </c>
    </row>
    <row r="28" spans="6:6" x14ac:dyDescent="0.25">
      <c r="F28" s="1">
        <f t="shared" si="0"/>
        <v>41819</v>
      </c>
    </row>
    <row r="29" spans="6:6" x14ac:dyDescent="0.25">
      <c r="F29" s="1">
        <f t="shared" si="0"/>
        <v>41826</v>
      </c>
    </row>
    <row r="30" spans="6:6" x14ac:dyDescent="0.25">
      <c r="F30" s="1">
        <f t="shared" si="0"/>
        <v>41833</v>
      </c>
    </row>
    <row r="31" spans="6:6" x14ac:dyDescent="0.25">
      <c r="F31" s="1">
        <f t="shared" si="0"/>
        <v>41840</v>
      </c>
    </row>
    <row r="32" spans="6:6" x14ac:dyDescent="0.25">
      <c r="F32" s="1">
        <f t="shared" si="0"/>
        <v>41847</v>
      </c>
    </row>
    <row r="33" spans="6:6" x14ac:dyDescent="0.25">
      <c r="F33" s="1">
        <f t="shared" si="0"/>
        <v>41854</v>
      </c>
    </row>
    <row r="34" spans="6:6" x14ac:dyDescent="0.25">
      <c r="F34" s="1">
        <f t="shared" si="0"/>
        <v>41861</v>
      </c>
    </row>
    <row r="35" spans="6:6" x14ac:dyDescent="0.25">
      <c r="F35" s="1">
        <f t="shared" si="0"/>
        <v>41868</v>
      </c>
    </row>
    <row r="36" spans="6:6" x14ac:dyDescent="0.25">
      <c r="F36" s="1">
        <f t="shared" si="0"/>
        <v>41875</v>
      </c>
    </row>
    <row r="37" spans="6:6" x14ac:dyDescent="0.25">
      <c r="F37" s="1">
        <f t="shared" si="0"/>
        <v>41882</v>
      </c>
    </row>
    <row r="38" spans="6:6" x14ac:dyDescent="0.25">
      <c r="F38" s="1">
        <f t="shared" si="0"/>
        <v>41889</v>
      </c>
    </row>
    <row r="39" spans="6:6" x14ac:dyDescent="0.25">
      <c r="F39" s="1">
        <f t="shared" si="0"/>
        <v>41896</v>
      </c>
    </row>
    <row r="40" spans="6:6" x14ac:dyDescent="0.25">
      <c r="F40" s="1">
        <f>F39+7</f>
        <v>41903</v>
      </c>
    </row>
    <row r="41" spans="6:6" x14ac:dyDescent="0.25">
      <c r="F41" s="1">
        <f>F40+7</f>
        <v>41910</v>
      </c>
    </row>
    <row r="42" spans="6:6" x14ac:dyDescent="0.25">
      <c r="F42" s="1">
        <f t="shared" ref="F42:F85" si="1">F41+7</f>
        <v>41917</v>
      </c>
    </row>
    <row r="43" spans="6:6" x14ac:dyDescent="0.25">
      <c r="F43" s="1">
        <f t="shared" si="1"/>
        <v>41924</v>
      </c>
    </row>
    <row r="44" spans="6:6" x14ac:dyDescent="0.25">
      <c r="F44" s="1">
        <f t="shared" si="1"/>
        <v>41931</v>
      </c>
    </row>
    <row r="45" spans="6:6" x14ac:dyDescent="0.25">
      <c r="F45" s="1">
        <f t="shared" si="1"/>
        <v>41938</v>
      </c>
    </row>
    <row r="46" spans="6:6" x14ac:dyDescent="0.25">
      <c r="F46" s="1">
        <f t="shared" si="1"/>
        <v>41945</v>
      </c>
    </row>
    <row r="47" spans="6:6" x14ac:dyDescent="0.25">
      <c r="F47" s="1">
        <f t="shared" si="1"/>
        <v>41952</v>
      </c>
    </row>
    <row r="48" spans="6:6" x14ac:dyDescent="0.25">
      <c r="F48" s="1">
        <f t="shared" si="1"/>
        <v>41959</v>
      </c>
    </row>
    <row r="49" spans="6:6" x14ac:dyDescent="0.25">
      <c r="F49" s="1">
        <f t="shared" si="1"/>
        <v>41966</v>
      </c>
    </row>
    <row r="50" spans="6:6" x14ac:dyDescent="0.25">
      <c r="F50" s="1">
        <f t="shared" si="1"/>
        <v>41973</v>
      </c>
    </row>
    <row r="51" spans="6:6" x14ac:dyDescent="0.25">
      <c r="F51" s="1">
        <f t="shared" si="1"/>
        <v>41980</v>
      </c>
    </row>
    <row r="52" spans="6:6" x14ac:dyDescent="0.25">
      <c r="F52" s="1">
        <f t="shared" si="1"/>
        <v>41987</v>
      </c>
    </row>
    <row r="53" spans="6:6" x14ac:dyDescent="0.25">
      <c r="F53" s="1">
        <f t="shared" si="1"/>
        <v>41994</v>
      </c>
    </row>
    <row r="54" spans="6:6" x14ac:dyDescent="0.25">
      <c r="F54" s="1">
        <f t="shared" si="1"/>
        <v>42001</v>
      </c>
    </row>
    <row r="55" spans="6:6" x14ac:dyDescent="0.25">
      <c r="F55" s="1">
        <f t="shared" si="1"/>
        <v>42008</v>
      </c>
    </row>
    <row r="56" spans="6:6" x14ac:dyDescent="0.25">
      <c r="F56" s="1">
        <f t="shared" si="1"/>
        <v>42015</v>
      </c>
    </row>
    <row r="57" spans="6:6" x14ac:dyDescent="0.25">
      <c r="F57" s="1">
        <f t="shared" si="1"/>
        <v>42022</v>
      </c>
    </row>
    <row r="58" spans="6:6" x14ac:dyDescent="0.25">
      <c r="F58" s="1">
        <f t="shared" si="1"/>
        <v>42029</v>
      </c>
    </row>
    <row r="59" spans="6:6" x14ac:dyDescent="0.25">
      <c r="F59" s="1">
        <f t="shared" si="1"/>
        <v>42036</v>
      </c>
    </row>
    <row r="60" spans="6:6" x14ac:dyDescent="0.25">
      <c r="F60" s="1">
        <f t="shared" si="1"/>
        <v>42043</v>
      </c>
    </row>
    <row r="61" spans="6:6" x14ac:dyDescent="0.25">
      <c r="F61" s="1">
        <f t="shared" si="1"/>
        <v>42050</v>
      </c>
    </row>
    <row r="62" spans="6:6" x14ac:dyDescent="0.25">
      <c r="F62" s="1">
        <f t="shared" si="1"/>
        <v>42057</v>
      </c>
    </row>
    <row r="63" spans="6:6" x14ac:dyDescent="0.25">
      <c r="F63" s="1">
        <f t="shared" si="1"/>
        <v>42064</v>
      </c>
    </row>
    <row r="64" spans="6:6" x14ac:dyDescent="0.25">
      <c r="F64" s="1">
        <f t="shared" si="1"/>
        <v>42071</v>
      </c>
    </row>
    <row r="65" spans="6:6" x14ac:dyDescent="0.25">
      <c r="F65" s="1">
        <f t="shared" si="1"/>
        <v>42078</v>
      </c>
    </row>
    <row r="66" spans="6:6" x14ac:dyDescent="0.25">
      <c r="F66" s="1">
        <f t="shared" si="1"/>
        <v>42085</v>
      </c>
    </row>
    <row r="67" spans="6:6" x14ac:dyDescent="0.25">
      <c r="F67" s="1">
        <f t="shared" si="1"/>
        <v>42092</v>
      </c>
    </row>
    <row r="68" spans="6:6" x14ac:dyDescent="0.25">
      <c r="F68" s="1">
        <f t="shared" si="1"/>
        <v>42099</v>
      </c>
    </row>
    <row r="69" spans="6:6" x14ac:dyDescent="0.25">
      <c r="F69" s="1">
        <f t="shared" si="1"/>
        <v>42106</v>
      </c>
    </row>
    <row r="70" spans="6:6" x14ac:dyDescent="0.25">
      <c r="F70" s="1">
        <f t="shared" si="1"/>
        <v>42113</v>
      </c>
    </row>
    <row r="71" spans="6:6" x14ac:dyDescent="0.25">
      <c r="F71" s="1">
        <f t="shared" si="1"/>
        <v>42120</v>
      </c>
    </row>
    <row r="72" spans="6:6" x14ac:dyDescent="0.25">
      <c r="F72" s="1">
        <f t="shared" si="1"/>
        <v>42127</v>
      </c>
    </row>
    <row r="73" spans="6:6" x14ac:dyDescent="0.25">
      <c r="F73" s="1">
        <f t="shared" si="1"/>
        <v>42134</v>
      </c>
    </row>
    <row r="74" spans="6:6" x14ac:dyDescent="0.25">
      <c r="F74" s="1">
        <f t="shared" si="1"/>
        <v>42141</v>
      </c>
    </row>
    <row r="75" spans="6:6" x14ac:dyDescent="0.25">
      <c r="F75" s="1">
        <f t="shared" si="1"/>
        <v>42148</v>
      </c>
    </row>
    <row r="76" spans="6:6" x14ac:dyDescent="0.25">
      <c r="F76" s="1">
        <f t="shared" si="1"/>
        <v>42155</v>
      </c>
    </row>
    <row r="77" spans="6:6" x14ac:dyDescent="0.25">
      <c r="F77" s="1">
        <f t="shared" si="1"/>
        <v>42162</v>
      </c>
    </row>
    <row r="78" spans="6:6" x14ac:dyDescent="0.25">
      <c r="F78" s="1">
        <f t="shared" si="1"/>
        <v>42169</v>
      </c>
    </row>
    <row r="79" spans="6:6" x14ac:dyDescent="0.25">
      <c r="F79" s="1">
        <f t="shared" si="1"/>
        <v>42176</v>
      </c>
    </row>
    <row r="80" spans="6:6" x14ac:dyDescent="0.25">
      <c r="F80" s="1">
        <f t="shared" si="1"/>
        <v>42183</v>
      </c>
    </row>
    <row r="81" spans="6:6" x14ac:dyDescent="0.25">
      <c r="F81" s="1">
        <f t="shared" si="1"/>
        <v>42190</v>
      </c>
    </row>
    <row r="82" spans="6:6" x14ac:dyDescent="0.25">
      <c r="F82" s="1">
        <f t="shared" si="1"/>
        <v>42197</v>
      </c>
    </row>
    <row r="83" spans="6:6" x14ac:dyDescent="0.25">
      <c r="F83" s="1">
        <f t="shared" si="1"/>
        <v>42204</v>
      </c>
    </row>
    <row r="84" spans="6:6" x14ac:dyDescent="0.25">
      <c r="F84" s="1">
        <f t="shared" si="1"/>
        <v>42211</v>
      </c>
    </row>
    <row r="85" spans="6:6" x14ac:dyDescent="0.25">
      <c r="F85" s="1">
        <f t="shared" si="1"/>
        <v>42218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Name</vt:lpstr>
      <vt:lpstr>Tabular Record</vt:lpstr>
      <vt:lpstr>Projects</vt:lpstr>
      <vt:lpstr>Validation Lists</vt:lpstr>
      <vt:lpstr>Walker__Eric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Walker</dc:creator>
  <cp:lastModifiedBy>Eric Walker</cp:lastModifiedBy>
  <cp:lastPrinted>2015-06-24T14:58:20Z</cp:lastPrinted>
  <dcterms:created xsi:type="dcterms:W3CDTF">2014-02-21T18:28:43Z</dcterms:created>
  <dcterms:modified xsi:type="dcterms:W3CDTF">2015-07-04T15:19:06Z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c4276d45-cb17-480f-bdc9-5e07cbcd258b</vt:lpwstr>
  </property>
</Properties>
</file>